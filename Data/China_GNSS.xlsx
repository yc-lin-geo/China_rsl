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lin253_csiro_au/Documents/China Coastline/Manuscript/Submission 3/China_database_YC_LIN_v3/Data/"/>
    </mc:Choice>
  </mc:AlternateContent>
  <xr:revisionPtr revIDLastSave="14" documentId="13_ncr:1_{F4CBCE87-AD7B-D349-AB4B-251C30D0E889}" xr6:coauthVersionLast="47" xr6:coauthVersionMax="47" xr10:uidLastSave="{56A94295-27C6-E44E-A783-C4F868B5F547}"/>
  <bookViews>
    <workbookView xWindow="30240" yWindow="500" windowWidth="51200" windowHeight="28300" activeTab="1" xr2:uid="{AA3C8630-698E-5740-B3D6-CAA2451465C3}"/>
  </bookViews>
  <sheets>
    <sheet name="Sheet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</calcChain>
</file>

<file path=xl/sharedStrings.xml><?xml version="1.0" encoding="utf-8"?>
<sst xmlns="http://schemas.openxmlformats.org/spreadsheetml/2006/main" count="34" uniqueCount="34">
  <si>
    <t>Station name</t>
  </si>
  <si>
    <t>Longitude</t>
  </si>
  <si>
    <t>Latitude</t>
  </si>
  <si>
    <t>Starting year</t>
  </si>
  <si>
    <t>Ending Year</t>
  </si>
  <si>
    <t>VLM Rate (mm/yr)</t>
  </si>
  <si>
    <t>COA1</t>
  </si>
  <si>
    <t>DSMG</t>
  </si>
  <si>
    <t>VLM stand error</t>
  </si>
  <si>
    <t>FOMO</t>
  </si>
  <si>
    <t>HKNP</t>
  </si>
  <si>
    <t>HKCL</t>
  </si>
  <si>
    <t>HKSL</t>
  </si>
  <si>
    <t>HKLT</t>
  </si>
  <si>
    <t>HKMW</t>
  </si>
  <si>
    <t>HKKT</t>
  </si>
  <si>
    <t>HKTK</t>
  </si>
  <si>
    <t>HKSS</t>
  </si>
  <si>
    <t>HKWS</t>
  </si>
  <si>
    <t>HKKS</t>
  </si>
  <si>
    <t>HKOH</t>
  </si>
  <si>
    <t>HKLM</t>
  </si>
  <si>
    <t>HKPC</t>
  </si>
  <si>
    <t>HKSC</t>
  </si>
  <si>
    <t>KIMN</t>
  </si>
  <si>
    <t>KMNM</t>
  </si>
  <si>
    <t>MAT3</t>
  </si>
  <si>
    <t>PAN9</t>
  </si>
  <si>
    <t>S01R</t>
  </si>
  <si>
    <t>SHAO</t>
  </si>
  <si>
    <t>Totoal Year</t>
  </si>
  <si>
    <t>Lin et al. (2025), "Profound modern sea-level evolution against geological backdrop in southeastern China"</t>
  </si>
  <si>
    <t>Modern GNSS database from</t>
  </si>
  <si>
    <t>The database comprise China GNSS data obtained from Nevada Geodetic Laboratory at the University of Nevada http://geodesy.unr.edu. Last access: 10/Oct/2024.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</si>
</sst>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F676-6FBE-254C-8CF0-08422D80CE4C}">
  <dimension ref="A1:H24"/>
  <sheetViews>
    <sheetView workbookViewId="0">
      <selection activeCell="H1" sqref="H1:H1048576"/>
    </sheetView>
  </sheetViews>
  <sheetFormatPr baseColWidth="10" defaultRowHeight="16" x14ac:dyDescent="0.2"/>
  <cols>
    <col min="1" max="1" width="22.33203125" customWidth="1"/>
    <col min="2" max="2" width="23.33203125" customWidth="1"/>
    <col min="3" max="3" width="20.1640625" customWidth="1"/>
    <col min="4" max="4" width="19.83203125" customWidth="1"/>
    <col min="5" max="5" width="21" customWidth="1"/>
    <col min="6" max="6" width="20.5" customWidth="1"/>
    <col min="7" max="7" width="21.6640625" customWidth="1"/>
    <col min="8" max="8" width="22.5" customWidth="1"/>
  </cols>
  <sheetData>
    <row r="1" spans="1:8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30</v>
      </c>
    </row>
    <row r="2" spans="1:8" x14ac:dyDescent="0.2">
      <c r="A2" t="s">
        <v>6</v>
      </c>
      <c r="B2">
        <v>113.56100000000001</v>
      </c>
      <c r="C2">
        <v>22.120999999999999</v>
      </c>
      <c r="D2">
        <v>2007</v>
      </c>
      <c r="E2">
        <v>2024</v>
      </c>
      <c r="F2">
        <v>7.3999999999999996E-2</v>
      </c>
      <c r="G2">
        <v>0.59699999999999998</v>
      </c>
      <c r="H2">
        <f t="shared" ref="H2:H24" si="0">E2-D2</f>
        <v>17</v>
      </c>
    </row>
    <row r="3" spans="1:8" x14ac:dyDescent="0.2">
      <c r="A3" t="s">
        <v>7</v>
      </c>
      <c r="B3">
        <v>113.569</v>
      </c>
      <c r="C3">
        <v>22.158999999999999</v>
      </c>
      <c r="D3">
        <v>2011</v>
      </c>
      <c r="E3">
        <v>2023</v>
      </c>
      <c r="F3">
        <v>4.4999999999999998E-2</v>
      </c>
      <c r="G3">
        <v>0.70499999999999996</v>
      </c>
      <c r="H3">
        <f t="shared" si="0"/>
        <v>12</v>
      </c>
    </row>
    <row r="4" spans="1:8" x14ac:dyDescent="0.2">
      <c r="A4" t="s">
        <v>9</v>
      </c>
      <c r="B4">
        <v>113.542</v>
      </c>
      <c r="C4">
        <v>22.196999999999999</v>
      </c>
      <c r="D4">
        <v>2007</v>
      </c>
      <c r="E4">
        <v>2024</v>
      </c>
      <c r="F4">
        <v>-0.48299999999999998</v>
      </c>
      <c r="G4">
        <v>0.56299999999999994</v>
      </c>
      <c r="H4">
        <f t="shared" si="0"/>
        <v>17</v>
      </c>
    </row>
    <row r="5" spans="1:8" x14ac:dyDescent="0.2">
      <c r="A5" t="s">
        <v>10</v>
      </c>
      <c r="B5">
        <v>113.893</v>
      </c>
      <c r="C5">
        <v>22.248999999999999</v>
      </c>
      <c r="D5">
        <v>2005</v>
      </c>
      <c r="E5">
        <v>2024</v>
      </c>
      <c r="F5">
        <v>7.9000000000000001E-2</v>
      </c>
      <c r="G5">
        <v>0.59899999999999998</v>
      </c>
      <c r="H5">
        <f t="shared" si="0"/>
        <v>19</v>
      </c>
    </row>
    <row r="6" spans="1:8" x14ac:dyDescent="0.2">
      <c r="A6" t="s">
        <v>11</v>
      </c>
      <c r="B6">
        <v>113.908</v>
      </c>
      <c r="C6">
        <v>22.295999999999999</v>
      </c>
      <c r="D6">
        <v>2009</v>
      </c>
      <c r="E6">
        <v>2024</v>
      </c>
      <c r="F6">
        <v>-1.83</v>
      </c>
      <c r="G6">
        <v>0.751</v>
      </c>
      <c r="H6">
        <f t="shared" si="0"/>
        <v>15</v>
      </c>
    </row>
    <row r="7" spans="1:8" x14ac:dyDescent="0.2">
      <c r="A7" t="s">
        <v>12</v>
      </c>
      <c r="B7">
        <v>113.928</v>
      </c>
      <c r="C7">
        <v>22.372</v>
      </c>
      <c r="D7">
        <v>2002</v>
      </c>
      <c r="E7">
        <v>2024</v>
      </c>
      <c r="F7">
        <v>0.155</v>
      </c>
      <c r="G7">
        <v>0.51900000000000002</v>
      </c>
      <c r="H7">
        <f t="shared" si="0"/>
        <v>22</v>
      </c>
    </row>
    <row r="8" spans="1:8" x14ac:dyDescent="0.2">
      <c r="A8" t="s">
        <v>13</v>
      </c>
      <c r="B8">
        <v>113.997</v>
      </c>
      <c r="C8">
        <v>22.417999999999999</v>
      </c>
      <c r="D8">
        <v>2002</v>
      </c>
      <c r="E8">
        <v>2024</v>
      </c>
      <c r="F8">
        <v>-0.109</v>
      </c>
      <c r="G8">
        <v>0.57499999999999996</v>
      </c>
      <c r="H8">
        <f t="shared" si="0"/>
        <v>22</v>
      </c>
    </row>
    <row r="9" spans="1:8" x14ac:dyDescent="0.2">
      <c r="A9" t="s">
        <v>14</v>
      </c>
      <c r="B9">
        <v>114.002</v>
      </c>
      <c r="C9">
        <v>22.256</v>
      </c>
      <c r="D9">
        <v>2005</v>
      </c>
      <c r="E9">
        <v>2024</v>
      </c>
      <c r="F9">
        <v>-1.3879999999999999</v>
      </c>
      <c r="G9">
        <v>0.65500000000000003</v>
      </c>
      <c r="H9">
        <f t="shared" si="0"/>
        <v>19</v>
      </c>
    </row>
    <row r="10" spans="1:8" x14ac:dyDescent="0.2">
      <c r="A10" t="s">
        <v>15</v>
      </c>
      <c r="B10">
        <v>114.06699999999999</v>
      </c>
      <c r="C10">
        <v>22.445</v>
      </c>
      <c r="D10">
        <v>2002</v>
      </c>
      <c r="E10">
        <v>2024</v>
      </c>
      <c r="F10">
        <v>0.1</v>
      </c>
      <c r="G10">
        <v>0.54200000000000004</v>
      </c>
      <c r="H10">
        <f t="shared" si="0"/>
        <v>22</v>
      </c>
    </row>
    <row r="11" spans="1:8" x14ac:dyDescent="0.2">
      <c r="A11" t="s">
        <v>16</v>
      </c>
      <c r="B11">
        <v>114.223</v>
      </c>
      <c r="C11">
        <v>22.547000000000001</v>
      </c>
      <c r="D11">
        <v>2015</v>
      </c>
      <c r="E11">
        <v>2024</v>
      </c>
      <c r="F11">
        <v>-0.14799999999999999</v>
      </c>
      <c r="G11">
        <v>0.78900000000000003</v>
      </c>
      <c r="H11">
        <f t="shared" si="0"/>
        <v>9</v>
      </c>
    </row>
    <row r="12" spans="1:8" x14ac:dyDescent="0.2">
      <c r="A12" t="s">
        <v>17</v>
      </c>
      <c r="B12">
        <v>114.26900000000001</v>
      </c>
      <c r="C12">
        <v>22.431000000000001</v>
      </c>
      <c r="D12">
        <v>2005</v>
      </c>
      <c r="E12">
        <v>2024</v>
      </c>
      <c r="F12">
        <v>0.126</v>
      </c>
      <c r="G12">
        <v>0.53700000000000003</v>
      </c>
      <c r="H12">
        <f t="shared" si="0"/>
        <v>19</v>
      </c>
    </row>
    <row r="13" spans="1:8" x14ac:dyDescent="0.2">
      <c r="A13" t="s">
        <v>18</v>
      </c>
      <c r="B13">
        <v>114.33499999999999</v>
      </c>
      <c r="C13">
        <v>22.434000000000001</v>
      </c>
      <c r="D13">
        <v>2004</v>
      </c>
      <c r="E13">
        <v>2024</v>
      </c>
      <c r="F13">
        <v>-0.158</v>
      </c>
      <c r="G13">
        <v>0.51700000000000002</v>
      </c>
      <c r="H13">
        <f t="shared" si="0"/>
        <v>20</v>
      </c>
    </row>
    <row r="14" spans="1:8" x14ac:dyDescent="0.2">
      <c r="A14" t="s">
        <v>19</v>
      </c>
      <c r="B14">
        <v>114.312</v>
      </c>
      <c r="C14">
        <v>22.367999999999999</v>
      </c>
      <c r="D14">
        <v>2015</v>
      </c>
      <c r="E14">
        <v>2024</v>
      </c>
      <c r="F14">
        <v>0.317</v>
      </c>
      <c r="G14">
        <v>0.78500000000000003</v>
      </c>
      <c r="H14">
        <f t="shared" si="0"/>
        <v>9</v>
      </c>
    </row>
    <row r="15" spans="1:8" x14ac:dyDescent="0.2">
      <c r="A15" t="s">
        <v>20</v>
      </c>
      <c r="B15">
        <v>114.229</v>
      </c>
      <c r="C15">
        <v>22.248000000000001</v>
      </c>
      <c r="D15">
        <v>2005</v>
      </c>
      <c r="E15">
        <v>2024</v>
      </c>
      <c r="F15">
        <v>4.0000000000000001E-3</v>
      </c>
      <c r="G15">
        <v>0.55700000000000005</v>
      </c>
      <c r="H15">
        <f t="shared" si="0"/>
        <v>19</v>
      </c>
    </row>
    <row r="16" spans="1:8" x14ac:dyDescent="0.2">
      <c r="A16" t="s">
        <v>21</v>
      </c>
      <c r="B16">
        <v>114.12</v>
      </c>
      <c r="C16">
        <v>22.219000000000001</v>
      </c>
      <c r="D16">
        <v>2015</v>
      </c>
      <c r="E16">
        <v>2024</v>
      </c>
      <c r="F16">
        <v>0.30499999999999999</v>
      </c>
      <c r="G16">
        <v>0.88200000000000001</v>
      </c>
      <c r="H16">
        <f t="shared" si="0"/>
        <v>9</v>
      </c>
    </row>
    <row r="17" spans="1:8" x14ac:dyDescent="0.2">
      <c r="A17" t="s">
        <v>22</v>
      </c>
      <c r="B17">
        <v>114.038</v>
      </c>
      <c r="C17">
        <v>22.285</v>
      </c>
      <c r="D17">
        <v>2005</v>
      </c>
      <c r="E17">
        <v>2024</v>
      </c>
      <c r="F17">
        <v>0.104</v>
      </c>
      <c r="G17">
        <v>0.53300000000000003</v>
      </c>
      <c r="H17">
        <f t="shared" si="0"/>
        <v>19</v>
      </c>
    </row>
    <row r="18" spans="1:8" x14ac:dyDescent="0.2">
      <c r="A18" t="s">
        <v>23</v>
      </c>
      <c r="B18">
        <v>114.14100000000001</v>
      </c>
      <c r="C18">
        <v>22.321999999999999</v>
      </c>
      <c r="D18">
        <v>2003</v>
      </c>
      <c r="E18">
        <v>2024</v>
      </c>
      <c r="F18">
        <v>-0.45700000000000002</v>
      </c>
      <c r="G18">
        <v>0.54300000000000004</v>
      </c>
      <c r="H18">
        <f t="shared" si="0"/>
        <v>21</v>
      </c>
    </row>
    <row r="19" spans="1:8" x14ac:dyDescent="0.2">
      <c r="A19" t="s">
        <v>24</v>
      </c>
      <c r="B19">
        <v>118.289</v>
      </c>
      <c r="C19">
        <v>24.407</v>
      </c>
      <c r="D19">
        <v>2017</v>
      </c>
      <c r="E19">
        <v>2024</v>
      </c>
      <c r="F19">
        <v>-0.02</v>
      </c>
      <c r="G19">
        <v>1.1779999999999999</v>
      </c>
      <c r="H19">
        <f t="shared" si="0"/>
        <v>7</v>
      </c>
    </row>
    <row r="20" spans="1:8" x14ac:dyDescent="0.2">
      <c r="A20" t="s">
        <v>25</v>
      </c>
      <c r="B20">
        <v>118.389</v>
      </c>
      <c r="C20">
        <v>24.463999999999999</v>
      </c>
      <c r="D20">
        <v>2012</v>
      </c>
      <c r="E20">
        <v>2024</v>
      </c>
      <c r="F20">
        <v>0.17499999999999999</v>
      </c>
      <c r="G20">
        <v>0.66900000000000004</v>
      </c>
      <c r="H20">
        <f t="shared" si="0"/>
        <v>12</v>
      </c>
    </row>
    <row r="21" spans="1:8" x14ac:dyDescent="0.2">
      <c r="A21" t="s">
        <v>26</v>
      </c>
      <c r="B21">
        <v>119.922</v>
      </c>
      <c r="C21">
        <v>26.169</v>
      </c>
      <c r="D21">
        <v>2015</v>
      </c>
      <c r="E21">
        <v>2024</v>
      </c>
      <c r="F21">
        <v>-0.34599999999999997</v>
      </c>
      <c r="G21">
        <v>0.67200000000000004</v>
      </c>
      <c r="H21">
        <f t="shared" si="0"/>
        <v>9</v>
      </c>
    </row>
    <row r="22" spans="1:8" x14ac:dyDescent="0.2">
      <c r="A22" t="s">
        <v>27</v>
      </c>
      <c r="B22">
        <v>119.56399999999999</v>
      </c>
      <c r="C22">
        <v>23.565000000000001</v>
      </c>
      <c r="D22">
        <v>2007</v>
      </c>
      <c r="E22">
        <v>2024</v>
      </c>
      <c r="F22">
        <v>0.253</v>
      </c>
      <c r="G22">
        <v>0.81100000000000005</v>
      </c>
      <c r="H22">
        <f t="shared" si="0"/>
        <v>17</v>
      </c>
    </row>
    <row r="23" spans="1:8" x14ac:dyDescent="0.2">
      <c r="A23" t="s">
        <v>28</v>
      </c>
      <c r="B23">
        <v>119.592</v>
      </c>
      <c r="C23">
        <v>23.655000000000001</v>
      </c>
      <c r="D23">
        <v>2008</v>
      </c>
      <c r="E23">
        <v>2024</v>
      </c>
      <c r="F23">
        <v>1.04</v>
      </c>
      <c r="G23">
        <v>0.44700000000000001</v>
      </c>
      <c r="H23">
        <f t="shared" si="0"/>
        <v>16</v>
      </c>
    </row>
    <row r="24" spans="1:8" x14ac:dyDescent="0.2">
      <c r="A24" t="s">
        <v>29</v>
      </c>
      <c r="B24">
        <v>121.2</v>
      </c>
      <c r="C24">
        <v>31.1</v>
      </c>
      <c r="D24">
        <v>1996</v>
      </c>
      <c r="E24">
        <v>2024</v>
      </c>
      <c r="F24">
        <v>-1.268</v>
      </c>
      <c r="G24">
        <v>0.44800000000000001</v>
      </c>
      <c r="H24">
        <f t="shared" si="0"/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12D1-655E-E54C-8579-8817C9EF7A60}">
  <dimension ref="A1:A6"/>
  <sheetViews>
    <sheetView tabSelected="1" workbookViewId="0">
      <selection activeCell="A2" sqref="A2"/>
    </sheetView>
  </sheetViews>
  <sheetFormatPr baseColWidth="10" defaultRowHeight="16" x14ac:dyDescent="0.2"/>
  <cols>
    <col min="1" max="1" width="111.83203125" customWidth="1"/>
  </cols>
  <sheetData>
    <row r="1" spans="1:1" x14ac:dyDescent="0.2">
      <c r="A1" s="2" t="s">
        <v>32</v>
      </c>
    </row>
    <row r="2" spans="1:1" ht="116" customHeight="1" x14ac:dyDescent="0.2">
      <c r="A2" s="2" t="s">
        <v>31</v>
      </c>
    </row>
    <row r="6" spans="1:1" ht="40" x14ac:dyDescent="0.25">
      <c r="A6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Lin</dc:creator>
  <cp:lastModifiedBy>Lin, Yucheng (Environment, Hobart)</cp:lastModifiedBy>
  <dcterms:created xsi:type="dcterms:W3CDTF">2024-07-19T15:27:27Z</dcterms:created>
  <dcterms:modified xsi:type="dcterms:W3CDTF">2025-07-24T00:57:46Z</dcterms:modified>
</cp:coreProperties>
</file>